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oEngine_Gonzalo\data_processed\"/>
    </mc:Choice>
  </mc:AlternateContent>
  <xr:revisionPtr revIDLastSave="0" documentId="13_ncr:1_{132715DF-8E63-4A81-9A04-66C40DA3E8D0}" xr6:coauthVersionLast="47" xr6:coauthVersionMax="47" xr10:uidLastSave="{00000000-0000-0000-0000-000000000000}"/>
  <bookViews>
    <workbookView xWindow="-110" yWindow="-110" windowWidth="25820" windowHeight="15500" xr2:uid="{FFBD5270-F865-476A-A6EE-8A5B6A7A7CFF}"/>
  </bookViews>
  <sheets>
    <sheet name="Hoja1" sheetId="1" r:id="rId1"/>
  </sheets>
  <definedNames>
    <definedName name="_xlnm._FilterDatabase" localSheetId="0" hidden="1">Hoja1!$A$1:$H$17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" l="1"/>
  <c r="C23" i="1"/>
  <c r="C22" i="1"/>
  <c r="D23" i="1"/>
  <c r="D22" i="1"/>
  <c r="E22" i="1" l="1"/>
  <c r="E23" i="1"/>
</calcChain>
</file>

<file path=xl/sharedStrings.xml><?xml version="1.0" encoding="utf-8"?>
<sst xmlns="http://schemas.openxmlformats.org/spreadsheetml/2006/main" count="58" uniqueCount="30">
  <si>
    <t>Distancia</t>
  </si>
  <si>
    <t>Tiempo</t>
  </si>
  <si>
    <t>Ritmo</t>
  </si>
  <si>
    <t>Tipo</t>
  </si>
  <si>
    <t>100 años del ORIENTAL DE LA PAZ</t>
  </si>
  <si>
    <t>CALLE</t>
  </si>
  <si>
    <t>Race Animas</t>
  </si>
  <si>
    <t>TRAIL</t>
  </si>
  <si>
    <t>Maraton de Punta del Este</t>
  </si>
  <si>
    <t>Las Piedras Un paso por los derechos Humanos</t>
  </si>
  <si>
    <t>Desafio Caranchos</t>
  </si>
  <si>
    <t>5K contra el Cáncer de Mama</t>
  </si>
  <si>
    <t>Desafio Pittamiglio</t>
  </si>
  <si>
    <t>San Felipe y Santiago</t>
  </si>
  <si>
    <t>Montevideo 15 Km (5 Km)</t>
  </si>
  <si>
    <t>Arequita Trail</t>
  </si>
  <si>
    <t>Pittamiglio Nocturno 2025</t>
  </si>
  <si>
    <t>Arbolito Nocturno 2025</t>
  </si>
  <si>
    <t>Española 10 Km (5Km)</t>
  </si>
  <si>
    <t>Aquatrail 2025</t>
  </si>
  <si>
    <t>Invictus Race</t>
  </si>
  <si>
    <t>Volcano Trail</t>
  </si>
  <si>
    <t>Fecha</t>
  </si>
  <si>
    <t xml:space="preserve">Nombre </t>
  </si>
  <si>
    <t>Tota</t>
  </si>
  <si>
    <t>ZAPATOS</t>
  </si>
  <si>
    <t>Brooks GTS 23</t>
  </si>
  <si>
    <t>Asics Kayano 31</t>
  </si>
  <si>
    <t>New Balance Garoé</t>
  </si>
  <si>
    <t>Hoka Speedgoat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</si>
</sst>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21" fontId="0" fillId="0" borderId="0" xfId="0" applyNumberFormat="1"/>
    <xf numFmtId="43" fontId="0" fillId="0" borderId="0" xfId="0" applyNumberForma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653C-656D-4ACD-B0C8-EF879834669A}">
  <dimension ref="A1:G24"/>
  <sheetViews>
    <sheetView tabSelected="1" workbookViewId="0">
      <selection activeCell="D9" sqref="D9"/>
    </sheetView>
  </sheetViews>
  <sheetFormatPr baseColWidth="10" defaultRowHeight="14.5" x14ac:dyDescent="0.35"/>
  <cols>
    <col min="1" max="1" width="10.08984375" bestFit="1" customWidth="1"/>
    <col min="2" max="2" width="39.1796875" bestFit="1" customWidth="1"/>
    <col min="3" max="3" width="8.54296875" bestFit="1" customWidth="1"/>
    <col min="4" max="4" width="7.90625" bestFit="1" customWidth="1"/>
    <col min="5" max="5" width="6.90625" bestFit="1" customWidth="1"/>
    <col min="6" max="6" width="6" bestFit="1" customWidth="1"/>
    <col min="7" max="7" width="12.26953125" bestFit="1" customWidth="1"/>
  </cols>
  <sheetData>
    <row r="1" spans="1:7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25</v>
      </c>
    </row>
    <row r="2" spans="1:7" x14ac:dyDescent="0.35">
      <c r="A2" s="1">
        <v>45494</v>
      </c>
      <c r="B2" t="s">
        <v>4</v>
      </c>
      <c r="C2" s="2">
        <v>5</v>
      </c>
      <c r="D2" s="3">
        <v>2.2199074074074072E-2</v>
      </c>
      <c r="E2" s="3">
        <v>4.4398148148148148E-3</v>
      </c>
      <c r="F2" t="s">
        <v>5</v>
      </c>
      <c r="G2" t="s">
        <v>26</v>
      </c>
    </row>
    <row r="3" spans="1:7" x14ac:dyDescent="0.35">
      <c r="A3" s="1">
        <v>45522</v>
      </c>
      <c r="B3" t="s">
        <v>6</v>
      </c>
      <c r="C3" s="2">
        <v>6.89</v>
      </c>
      <c r="D3" s="3">
        <v>4.4085648148148152E-2</v>
      </c>
      <c r="E3" s="3">
        <v>6.3984975541579326E-3</v>
      </c>
      <c r="F3" t="s">
        <v>7</v>
      </c>
      <c r="G3" t="s">
        <v>28</v>
      </c>
    </row>
    <row r="4" spans="1:7" x14ac:dyDescent="0.35">
      <c r="A4" s="1">
        <v>45543</v>
      </c>
      <c r="B4" t="s">
        <v>8</v>
      </c>
      <c r="C4" s="2">
        <v>5.08</v>
      </c>
      <c r="D4" s="3">
        <v>2.0798611111111111E-2</v>
      </c>
      <c r="E4" s="3">
        <v>4.0942147856517933E-3</v>
      </c>
      <c r="F4" t="s">
        <v>5</v>
      </c>
      <c r="G4" t="s">
        <v>26</v>
      </c>
    </row>
    <row r="5" spans="1:7" x14ac:dyDescent="0.35">
      <c r="A5" s="1">
        <v>45563</v>
      </c>
      <c r="B5" t="s">
        <v>9</v>
      </c>
      <c r="C5" s="2">
        <v>5.67</v>
      </c>
      <c r="D5" s="3">
        <v>2.2777777777777779E-2</v>
      </c>
      <c r="E5" s="3">
        <v>4.0172447579854987E-3</v>
      </c>
      <c r="F5" t="s">
        <v>5</v>
      </c>
      <c r="G5" t="s">
        <v>26</v>
      </c>
    </row>
    <row r="6" spans="1:7" x14ac:dyDescent="0.35">
      <c r="A6" s="1">
        <v>45571</v>
      </c>
      <c r="B6" t="s">
        <v>10</v>
      </c>
      <c r="C6" s="2">
        <v>7.4</v>
      </c>
      <c r="D6" s="3">
        <v>4.7094907407407405E-2</v>
      </c>
      <c r="E6" s="3">
        <v>6.3641766766766757E-3</v>
      </c>
      <c r="F6" t="s">
        <v>7</v>
      </c>
      <c r="G6" t="s">
        <v>28</v>
      </c>
    </row>
    <row r="7" spans="1:7" x14ac:dyDescent="0.35">
      <c r="A7" s="1">
        <v>45577</v>
      </c>
      <c r="B7" t="s">
        <v>11</v>
      </c>
      <c r="C7" s="2">
        <v>5.08</v>
      </c>
      <c r="D7" s="3">
        <v>1.8680555555555554E-2</v>
      </c>
      <c r="E7" s="3">
        <v>3.677274715660542E-3</v>
      </c>
      <c r="F7" t="s">
        <v>5</v>
      </c>
      <c r="G7" t="s">
        <v>26</v>
      </c>
    </row>
    <row r="8" spans="1:7" x14ac:dyDescent="0.35">
      <c r="A8" s="1">
        <v>45606</v>
      </c>
      <c r="B8" t="s">
        <v>12</v>
      </c>
      <c r="C8" s="2">
        <v>8.66</v>
      </c>
      <c r="D8" s="3">
        <v>4.8726851851851855E-2</v>
      </c>
      <c r="E8" s="3">
        <v>5.6266572577196132E-3</v>
      </c>
      <c r="F8" t="s">
        <v>7</v>
      </c>
      <c r="G8" t="s">
        <v>28</v>
      </c>
    </row>
    <row r="9" spans="1:7" x14ac:dyDescent="0.35">
      <c r="A9" s="1">
        <v>45612</v>
      </c>
      <c r="B9" t="s">
        <v>13</v>
      </c>
      <c r="C9" s="2">
        <v>10.09</v>
      </c>
      <c r="D9" s="3">
        <v>4.5891203703703705E-2</v>
      </c>
      <c r="E9" s="3">
        <v>4.5481866901589405E-3</v>
      </c>
      <c r="F9" t="s">
        <v>5</v>
      </c>
      <c r="G9" t="s">
        <v>26</v>
      </c>
    </row>
    <row r="10" spans="1:7" x14ac:dyDescent="0.35">
      <c r="A10" s="1">
        <v>45627</v>
      </c>
      <c r="B10" t="s">
        <v>14</v>
      </c>
      <c r="C10" s="2">
        <v>5.43</v>
      </c>
      <c r="D10" s="3">
        <v>1.9699074074074074E-2</v>
      </c>
      <c r="E10" s="3">
        <v>3.627822113089148E-3</v>
      </c>
      <c r="F10" t="s">
        <v>5</v>
      </c>
      <c r="G10" t="s">
        <v>26</v>
      </c>
    </row>
    <row r="11" spans="1:7" x14ac:dyDescent="0.35">
      <c r="A11" s="1">
        <v>45634</v>
      </c>
      <c r="B11" t="s">
        <v>15</v>
      </c>
      <c r="C11" s="2">
        <v>14.33</v>
      </c>
      <c r="D11" s="3">
        <v>9.7256944444444438E-2</v>
      </c>
      <c r="E11" s="3">
        <v>6.7869465767232684E-3</v>
      </c>
      <c r="F11" t="s">
        <v>7</v>
      </c>
      <c r="G11" t="s">
        <v>28</v>
      </c>
    </row>
    <row r="12" spans="1:7" x14ac:dyDescent="0.35">
      <c r="A12" s="1">
        <v>45682</v>
      </c>
      <c r="B12" t="s">
        <v>16</v>
      </c>
      <c r="C12" s="2">
        <v>12.77</v>
      </c>
      <c r="D12" s="3">
        <v>7.1782407407407406E-2</v>
      </c>
      <c r="E12" s="3">
        <v>5.6211752080976831E-3</v>
      </c>
      <c r="F12" t="s">
        <v>7</v>
      </c>
      <c r="G12" t="s">
        <v>28</v>
      </c>
    </row>
    <row r="13" spans="1:7" x14ac:dyDescent="0.35">
      <c r="A13" s="1">
        <v>45703</v>
      </c>
      <c r="B13" s="1" t="s">
        <v>17</v>
      </c>
      <c r="C13" s="2">
        <v>17.399999999999999</v>
      </c>
      <c r="D13" s="3">
        <v>0.14712962962962964</v>
      </c>
      <c r="E13" s="3">
        <v>8.4557258407833135E-3</v>
      </c>
      <c r="F13" t="s">
        <v>7</v>
      </c>
      <c r="G13" t="s">
        <v>29</v>
      </c>
    </row>
    <row r="14" spans="1:7" x14ac:dyDescent="0.35">
      <c r="A14" s="1">
        <v>45746</v>
      </c>
      <c r="B14" s="1" t="s">
        <v>18</v>
      </c>
      <c r="C14" s="2">
        <v>5.0199999999999996</v>
      </c>
      <c r="D14" s="3">
        <v>1.8726851851851852E-2</v>
      </c>
      <c r="E14" s="3">
        <v>3.7304485760661062E-3</v>
      </c>
      <c r="F14" t="s">
        <v>5</v>
      </c>
      <c r="G14" t="s">
        <v>27</v>
      </c>
    </row>
    <row r="15" spans="1:7" x14ac:dyDescent="0.35">
      <c r="A15" s="1">
        <v>45753</v>
      </c>
      <c r="B15" s="1" t="s">
        <v>19</v>
      </c>
      <c r="C15" s="2">
        <v>4.41</v>
      </c>
      <c r="D15" s="3">
        <v>2.8437500000000001E-2</v>
      </c>
      <c r="E15" s="3">
        <v>6.4484126984126981E-3</v>
      </c>
      <c r="F15" t="s">
        <v>7</v>
      </c>
      <c r="G15" t="s">
        <v>29</v>
      </c>
    </row>
    <row r="16" spans="1:7" x14ac:dyDescent="0.35">
      <c r="A16" s="1">
        <v>45816</v>
      </c>
      <c r="B16" s="1" t="s">
        <v>20</v>
      </c>
      <c r="C16" s="2">
        <v>7.31</v>
      </c>
      <c r="D16" s="3">
        <v>5.2534722222222219E-2</v>
      </c>
      <c r="E16" s="3">
        <v>7.1866925064599484E-3</v>
      </c>
      <c r="F16" t="s">
        <v>7</v>
      </c>
      <c r="G16" t="s">
        <v>29</v>
      </c>
    </row>
    <row r="17" spans="1:7" x14ac:dyDescent="0.35">
      <c r="A17" s="1">
        <v>45865</v>
      </c>
      <c r="B17" s="1" t="s">
        <v>21</v>
      </c>
      <c r="C17" s="2">
        <v>9.19</v>
      </c>
      <c r="D17" s="3">
        <v>6.2592592592592589E-2</v>
      </c>
      <c r="E17" s="3">
        <v>6.8109458751460924E-3</v>
      </c>
      <c r="F17" t="s">
        <v>7</v>
      </c>
      <c r="G17" t="s">
        <v>29</v>
      </c>
    </row>
    <row r="22" spans="1:7" x14ac:dyDescent="0.35">
      <c r="B22" t="s">
        <v>5</v>
      </c>
      <c r="C22" s="2">
        <f>SUMIF($F$2:$F$17,B22,$C$2:$C$17)</f>
        <v>41.36999999999999</v>
      </c>
      <c r="D22" s="3">
        <f>SUMIF($F$2:$F$17,B22,$D$2:$D$17)</f>
        <v>0.16877314814814814</v>
      </c>
      <c r="E22" s="3">
        <f t="shared" ref="E22:E23" si="0">+D22/C22</f>
        <v>4.0796023241031713E-3</v>
      </c>
    </row>
    <row r="23" spans="1:7" x14ac:dyDescent="0.35">
      <c r="B23" t="s">
        <v>7</v>
      </c>
      <c r="C23" s="2">
        <f>SUMIF($F$2:$F$17,B23,$C$2:$C$17)</f>
        <v>88.359999999999985</v>
      </c>
      <c r="D23" s="3">
        <f>SUMIF($F$2:$F$17,B23,$D$2:$D$17)</f>
        <v>0.59964120370370377</v>
      </c>
      <c r="E23" s="3">
        <f t="shared" si="0"/>
        <v>6.7863422782220902E-3</v>
      </c>
    </row>
    <row r="24" spans="1:7" x14ac:dyDescent="0.35">
      <c r="B24" s="1" t="s">
        <v>24</v>
      </c>
      <c r="C24" s="4">
        <v>129.73000000000002</v>
      </c>
      <c r="D24" s="3">
        <v>0.76841435185185181</v>
      </c>
      <c r="E24" s="3">
        <f>+D24/C24</f>
        <v>5.9231816222296441E-3</v>
      </c>
    </row>
  </sheetData>
  <conditionalFormatting sqref="E2:E13">
    <cfRule type="cellIs" dxfId="0" priority="1" operator="equal">
      <formula>$E$22</formula>
    </cfRule>
  </conditionalFormatting>
  <dataValidations count="1">
    <dataValidation type="list" allowBlank="1" showInputMessage="1" showErrorMessage="1" sqref="G2:G17" xr:uid="{7D3C934B-ACE9-4898-8299-6FEF17A15FFC}">
      <formula1>"Brooks GTS 23, Asics Kayano 31, Hoka Speedgoat 6, New Balance Garoé"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Obispo</dc:creator>
  <cp:lastModifiedBy>Gonzalo Obispo</cp:lastModifiedBy>
  <dcterms:created xsi:type="dcterms:W3CDTF">2025-12-29T22:53:44Z</dcterms:created>
  <dcterms:modified xsi:type="dcterms:W3CDTF">2026-01-08T05:04:32Z</dcterms:modified>
</cp:coreProperties>
</file>